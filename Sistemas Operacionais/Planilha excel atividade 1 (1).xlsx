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<sst xmlns="http://schemas.openxmlformats.org/spreadsheetml/2006/main" count="24" uniqueCount="20">
  <si>
    <t>Porc. de lucro</t>
  </si>
  <si>
    <t>Cotação de dolar</t>
  </si>
  <si>
    <t>Real</t>
  </si>
  <si>
    <t>Dolar</t>
  </si>
  <si>
    <t>Produto</t>
  </si>
  <si>
    <t>Estoque</t>
  </si>
  <si>
    <t>Custo</t>
  </si>
  <si>
    <t>Venda</t>
  </si>
  <si>
    <t>Total</t>
  </si>
  <si>
    <t>Borracha</t>
  </si>
  <si>
    <t>Caderno 100 folhas</t>
  </si>
  <si>
    <t>Caderno 200 folhas</t>
  </si>
  <si>
    <t>Caneta azul</t>
  </si>
  <si>
    <t>Caneta vermelha</t>
  </si>
  <si>
    <t>Lapiseira</t>
  </si>
  <si>
    <t>Régua 15 cm</t>
  </si>
  <si>
    <t>Régua 30 cm</t>
  </si>
  <si>
    <t>Giz de cera</t>
  </si>
  <si>
    <t>Cola</t>
  </si>
  <si>
    <t>Compasso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</si>
</sst>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[$$]#,##0.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000000"/>
      <name val="Roboto"/>
    </font>
    <font/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999999"/>
        <bgColor rgb="FF99999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10" xfId="0" applyAlignment="1" applyBorder="1" applyFont="1" applyNumberFormat="1">
      <alignment readingOrder="0"/>
    </xf>
    <xf borderId="1" fillId="2" fontId="2" numFmtId="0" xfId="0" applyAlignment="1" applyBorder="1" applyFill="1" applyFont="1">
      <alignment readingOrder="0"/>
    </xf>
    <xf borderId="0" fillId="2" fontId="1" numFmtId="0" xfId="0" applyAlignment="1" applyFont="1">
      <alignment readingOrder="0"/>
    </xf>
    <xf borderId="0" fillId="0" fontId="1" numFmtId="0" xfId="0" applyAlignment="1" applyFont="1">
      <alignment readingOrder="0"/>
    </xf>
    <xf borderId="2" fillId="3" fontId="1" numFmtId="0" xfId="0" applyAlignment="1" applyBorder="1" applyFill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2" fillId="4" fontId="1" numFmtId="0" xfId="0" applyAlignment="1" applyBorder="1" applyFill="1" applyFont="1">
      <alignment horizontal="center" readingOrder="0"/>
    </xf>
    <xf borderId="1" fillId="5" fontId="1" numFmtId="164" xfId="0" applyAlignment="1" applyBorder="1" applyFill="1" applyFont="1" applyNumberFormat="1">
      <alignment readingOrder="0"/>
    </xf>
    <xf borderId="1" fillId="4" fontId="1" numFmtId="164" xfId="0" applyAlignment="1" applyBorder="1" applyFont="1" applyNumberFormat="1">
      <alignment readingOrder="0"/>
    </xf>
    <xf borderId="1" fillId="5" fontId="1" numFmtId="164" xfId="0" applyBorder="1" applyFont="1" applyNumberFormat="1"/>
    <xf borderId="1" fillId="4" fontId="1" numFmtId="165" xfId="0" applyBorder="1" applyFont="1" applyNumberFormat="1"/>
    <xf borderId="1" fillId="6" fontId="1" numFmtId="0" xfId="0" applyAlignment="1" applyBorder="1" applyFill="1" applyFont="1">
      <alignment readingOrder="0"/>
    </xf>
    <xf borderId="1" fillId="6" fontId="1" numFmtId="0" xfId="0" applyBorder="1" applyFont="1"/>
    <xf borderId="1" fillId="6" fontId="1" numFmtId="164" xfId="0" applyBorder="1" applyFont="1" applyNumberFormat="1"/>
    <xf borderId="1" fillId="6" fontId="1" numFmtId="165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12.88"/>
  </cols>
  <sheetData>
    <row r="1">
      <c r="A1" s="1" t="s">
        <v>0</v>
      </c>
      <c r="B1" s="2">
        <v>0.125</v>
      </c>
    </row>
    <row r="2">
      <c r="A2" s="1" t="s">
        <v>1</v>
      </c>
      <c r="B2" s="3">
        <v>5.0</v>
      </c>
      <c r="E2" s="4"/>
    </row>
    <row r="3">
      <c r="B3" s="5"/>
      <c r="C3" s="6" t="s">
        <v>2</v>
      </c>
      <c r="D3" s="7"/>
      <c r="E3" s="8"/>
      <c r="F3" s="9" t="s">
        <v>3</v>
      </c>
      <c r="G3" s="7"/>
      <c r="H3" s="8"/>
    </row>
    <row r="4">
      <c r="A4" s="1" t="s">
        <v>4</v>
      </c>
      <c r="B4" s="1" t="s">
        <v>5</v>
      </c>
      <c r="C4" s="10" t="s">
        <v>6</v>
      </c>
      <c r="D4" s="10" t="s">
        <v>7</v>
      </c>
      <c r="E4" s="10" t="s">
        <v>8</v>
      </c>
      <c r="F4" s="11" t="s">
        <v>6</v>
      </c>
      <c r="G4" s="11" t="s">
        <v>7</v>
      </c>
      <c r="H4" s="11" t="s">
        <v>8</v>
      </c>
    </row>
    <row r="5">
      <c r="A5" s="1" t="s">
        <v>9</v>
      </c>
      <c r="B5" s="1">
        <v>500.0</v>
      </c>
      <c r="C5" s="10">
        <v>1.0</v>
      </c>
      <c r="D5" s="10">
        <v>1.2</v>
      </c>
      <c r="E5" s="12">
        <f t="shared" ref="E5:E15" si="1">B5*D5</f>
        <v>600</v>
      </c>
      <c r="F5" s="13">
        <f>C5/B2</f>
        <v>0.2</v>
      </c>
      <c r="G5" s="13">
        <f>D5/B2</f>
        <v>0.24</v>
      </c>
      <c r="H5" s="13">
        <f t="shared" ref="H5:H15" si="2">B5*G5</f>
        <v>120</v>
      </c>
    </row>
    <row r="6">
      <c r="A6" s="1" t="s">
        <v>10</v>
      </c>
      <c r="B6" s="1">
        <v>200.0</v>
      </c>
      <c r="C6" s="10">
        <v>20.0</v>
      </c>
      <c r="D6" s="10">
        <v>25.0</v>
      </c>
      <c r="E6" s="12">
        <f t="shared" si="1"/>
        <v>5000</v>
      </c>
      <c r="F6" s="13">
        <f>C6/B2</f>
        <v>4</v>
      </c>
      <c r="G6" s="13">
        <f>D6/B2</f>
        <v>5</v>
      </c>
      <c r="H6" s="13">
        <f t="shared" si="2"/>
        <v>1000</v>
      </c>
    </row>
    <row r="7">
      <c r="A7" s="1" t="s">
        <v>11</v>
      </c>
      <c r="B7" s="1">
        <v>300.0</v>
      </c>
      <c r="C7" s="10">
        <v>30.0</v>
      </c>
      <c r="D7" s="10">
        <v>40.0</v>
      </c>
      <c r="E7" s="12">
        <f t="shared" si="1"/>
        <v>12000</v>
      </c>
      <c r="F7" s="13">
        <f>C7/B2</f>
        <v>6</v>
      </c>
      <c r="G7" s="13">
        <f>D7/B2</f>
        <v>8</v>
      </c>
      <c r="H7" s="13">
        <f t="shared" si="2"/>
        <v>2400</v>
      </c>
    </row>
    <row r="8">
      <c r="A8" s="1" t="s">
        <v>12</v>
      </c>
      <c r="B8" s="1">
        <v>1000.0</v>
      </c>
      <c r="C8" s="10">
        <v>1.0</v>
      </c>
      <c r="D8" s="10">
        <v>1.5</v>
      </c>
      <c r="E8" s="12">
        <f t="shared" si="1"/>
        <v>1500</v>
      </c>
      <c r="F8" s="13">
        <f>C8/B2</f>
        <v>0.2</v>
      </c>
      <c r="G8" s="13">
        <f>D8/B2</f>
        <v>0.3</v>
      </c>
      <c r="H8" s="13">
        <f t="shared" si="2"/>
        <v>300</v>
      </c>
    </row>
    <row r="9">
      <c r="A9" s="1" t="s">
        <v>13</v>
      </c>
      <c r="B9" s="1">
        <v>900.0</v>
      </c>
      <c r="C9" s="10">
        <v>1.0</v>
      </c>
      <c r="D9" s="10">
        <v>1.5</v>
      </c>
      <c r="E9" s="12">
        <f t="shared" si="1"/>
        <v>1350</v>
      </c>
      <c r="F9" s="13">
        <f>C9/B2</f>
        <v>0.2</v>
      </c>
      <c r="G9" s="13">
        <f>D9/B2</f>
        <v>0.3</v>
      </c>
      <c r="H9" s="13">
        <f t="shared" si="2"/>
        <v>270</v>
      </c>
    </row>
    <row r="10">
      <c r="A10" s="1" t="s">
        <v>14</v>
      </c>
      <c r="B10" s="1">
        <v>200.0</v>
      </c>
      <c r="C10" s="10">
        <v>4.0</v>
      </c>
      <c r="D10" s="10">
        <v>4.5</v>
      </c>
      <c r="E10" s="12">
        <f t="shared" si="1"/>
        <v>900</v>
      </c>
      <c r="F10" s="13">
        <f>C10/B2</f>
        <v>0.8</v>
      </c>
      <c r="G10" s="13">
        <f>D10/B2</f>
        <v>0.9</v>
      </c>
      <c r="H10" s="13">
        <f t="shared" si="2"/>
        <v>180</v>
      </c>
    </row>
    <row r="11">
      <c r="A11" s="1" t="s">
        <v>15</v>
      </c>
      <c r="B11" s="1">
        <v>500.0</v>
      </c>
      <c r="C11" s="10">
        <v>7.0</v>
      </c>
      <c r="D11" s="10">
        <v>8.0</v>
      </c>
      <c r="E11" s="12">
        <f t="shared" si="1"/>
        <v>4000</v>
      </c>
      <c r="F11" s="13">
        <f>C11/B2</f>
        <v>1.4</v>
      </c>
      <c r="G11" s="13">
        <f>D11/B2</f>
        <v>1.6</v>
      </c>
      <c r="H11" s="13">
        <f t="shared" si="2"/>
        <v>800</v>
      </c>
    </row>
    <row r="12">
      <c r="A12" s="1" t="s">
        <v>16</v>
      </c>
      <c r="B12" s="1">
        <v>500.0</v>
      </c>
      <c r="C12" s="10">
        <v>10.0</v>
      </c>
      <c r="D12" s="10">
        <v>11.0</v>
      </c>
      <c r="E12" s="12">
        <f t="shared" si="1"/>
        <v>5500</v>
      </c>
      <c r="F12" s="13">
        <f>C12/B2</f>
        <v>2</v>
      </c>
      <c r="G12" s="13">
        <f>D12/B2</f>
        <v>2.2</v>
      </c>
      <c r="H12" s="13">
        <f t="shared" si="2"/>
        <v>1100</v>
      </c>
    </row>
    <row r="13">
      <c r="A13" s="1" t="s">
        <v>17</v>
      </c>
      <c r="B13" s="1">
        <v>50.0</v>
      </c>
      <c r="C13" s="10">
        <v>8.0</v>
      </c>
      <c r="D13" s="10">
        <v>10.0</v>
      </c>
      <c r="E13" s="12">
        <f t="shared" si="1"/>
        <v>500</v>
      </c>
      <c r="F13" s="13">
        <f>C13/B2</f>
        <v>1.6</v>
      </c>
      <c r="G13" s="13">
        <f>D13/B2</f>
        <v>2</v>
      </c>
      <c r="H13" s="13">
        <f t="shared" si="2"/>
        <v>100</v>
      </c>
    </row>
    <row r="14">
      <c r="A14" s="1" t="s">
        <v>18</v>
      </c>
      <c r="B14" s="1">
        <v>100.0</v>
      </c>
      <c r="C14" s="10">
        <v>9.0</v>
      </c>
      <c r="D14" s="10">
        <v>10.0</v>
      </c>
      <c r="E14" s="12">
        <f t="shared" si="1"/>
        <v>1000</v>
      </c>
      <c r="F14" s="13">
        <f>C14/B2</f>
        <v>1.8</v>
      </c>
      <c r="G14" s="13">
        <f>D14/B2</f>
        <v>2</v>
      </c>
      <c r="H14" s="13">
        <f t="shared" si="2"/>
        <v>200</v>
      </c>
    </row>
    <row r="15">
      <c r="A15" s="1" t="s">
        <v>19</v>
      </c>
      <c r="B15" s="1">
        <v>100.0</v>
      </c>
      <c r="C15" s="10">
        <v>9.0</v>
      </c>
      <c r="D15" s="10">
        <v>10.0</v>
      </c>
      <c r="E15" s="12">
        <f t="shared" si="1"/>
        <v>1000</v>
      </c>
      <c r="F15" s="13">
        <f>C15/B2</f>
        <v>1.8</v>
      </c>
      <c r="G15" s="13">
        <f>D15/B2</f>
        <v>2</v>
      </c>
      <c r="H15" s="13">
        <f t="shared" si="2"/>
        <v>200</v>
      </c>
    </row>
    <row r="16">
      <c r="A16" s="14" t="s">
        <v>8</v>
      </c>
      <c r="B16" s="15">
        <f t="shared" ref="B16:C16" si="3">SUM(B3:B15)</f>
        <v>4350</v>
      </c>
      <c r="C16" s="16">
        <f t="shared" si="3"/>
        <v>100</v>
      </c>
      <c r="D16" s="16">
        <f t="shared" ref="D16:H16" si="4">SUM(D1:D15)</f>
        <v>122.7</v>
      </c>
      <c r="E16" s="16">
        <f t="shared" si="4"/>
        <v>33350</v>
      </c>
      <c r="F16" s="17">
        <f t="shared" si="4"/>
        <v>20</v>
      </c>
      <c r="G16" s="17">
        <f t="shared" si="4"/>
        <v>24.54</v>
      </c>
      <c r="H16" s="17">
        <f t="shared" si="4"/>
        <v>6670</v>
      </c>
    </row>
  </sheetData>
  <mergeCells count="2">
    <mergeCell ref="C3:E3"/>
    <mergeCell ref="F3:H3"/>
  </mergeCells>
  <drawing r:id="rId1"/>
</worksheet>
</file>